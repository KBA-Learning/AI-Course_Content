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nModStddev" sheetId="1" r:id="rId4"/>
    <sheet state="visible" name="Histogram" sheetId="2" r:id="rId5"/>
    <sheet state="visible" name="One-Way ANOVA" sheetId="3" r:id="rId6"/>
  </sheets>
  <definedNames/>
  <calcPr/>
</workbook>
</file>

<file path=xl/sharedStrings.xml><?xml version="1.0" encoding="utf-8"?>
<sst xmlns="http://schemas.openxmlformats.org/spreadsheetml/2006/main" count="85" uniqueCount="64">
  <si>
    <t xml:space="preserve">Age </t>
  </si>
  <si>
    <t>Gender</t>
  </si>
  <si>
    <t>M</t>
  </si>
  <si>
    <t>Frequency M</t>
  </si>
  <si>
    <t>F</t>
  </si>
  <si>
    <t>n [Sample size]</t>
  </si>
  <si>
    <t>Frequency F</t>
  </si>
  <si>
    <t>Proportion M</t>
  </si>
  <si>
    <t>Proportion F</t>
  </si>
  <si>
    <t>Age</t>
  </si>
  <si>
    <t>mean</t>
  </si>
  <si>
    <t>median</t>
  </si>
  <si>
    <t>variance</t>
  </si>
  <si>
    <t>standard deviation</t>
  </si>
  <si>
    <t>can be round off using .0 or .00 option in the tab</t>
  </si>
  <si>
    <t>Range</t>
  </si>
  <si>
    <t>Range is the another sophisticated way of knowing the data spread</t>
  </si>
  <si>
    <t>Use of countif, sumif and average</t>
  </si>
  <si>
    <t>Amount</t>
  </si>
  <si>
    <t>Type</t>
  </si>
  <si>
    <t>type</t>
  </si>
  <si>
    <t>count</t>
  </si>
  <si>
    <t>sum</t>
  </si>
  <si>
    <t>average</t>
  </si>
  <si>
    <t xml:space="preserve">red </t>
  </si>
  <si>
    <t>blue</t>
  </si>
  <si>
    <t>green</t>
  </si>
  <si>
    <t>red</t>
  </si>
  <si>
    <t>Values</t>
  </si>
  <si>
    <t>class intervals</t>
  </si>
  <si>
    <t>max interval</t>
  </si>
  <si>
    <t>frequency</t>
  </si>
  <si>
    <t>min</t>
  </si>
  <si>
    <t>10 to &lt;30</t>
  </si>
  <si>
    <t>max</t>
  </si>
  <si>
    <t>30 to &lt;50</t>
  </si>
  <si>
    <t>n</t>
  </si>
  <si>
    <t>50 to &lt;70</t>
  </si>
  <si>
    <t>70 to &lt;90</t>
  </si>
  <si>
    <t>90 to &lt;110</t>
  </si>
  <si>
    <t>Parachute Manufacturer requires to avail raw materials for their final product, They receive a bid from four suppliers S1, S2, S3 and S4</t>
  </si>
  <si>
    <t>Ho= Null Hypotheis, here it mean there is no significant diffference in the tensile readings of any of these suppliers</t>
  </si>
  <si>
    <t>S1</t>
  </si>
  <si>
    <t>S2</t>
  </si>
  <si>
    <t>S3</t>
  </si>
  <si>
    <t>S4</t>
  </si>
  <si>
    <t>H1= Atleast some difference in value is exhibited among the suppliers</t>
  </si>
  <si>
    <t>Sample Mean (xbar)</t>
  </si>
  <si>
    <t>Sample Variance(s^2)</t>
  </si>
  <si>
    <t>AvgAllData (x2bar)</t>
  </si>
  <si>
    <t>Total No of Groups (c)</t>
  </si>
  <si>
    <t>F Table to get F_u</t>
  </si>
  <si>
    <t>Total No of Observations (n)</t>
  </si>
  <si>
    <t>df_num</t>
  </si>
  <si>
    <t>Total No of observations in a group (n0)</t>
  </si>
  <si>
    <t>df_den</t>
  </si>
  <si>
    <t>alpha</t>
  </si>
  <si>
    <t>Average of Variance (s^2_pooled)</t>
  </si>
  <si>
    <t>Variance in the average (s^2_xbar)</t>
  </si>
  <si>
    <t>F (crtical value)</t>
  </si>
  <si>
    <t>(n0)*(s^2xbar)/(s^2_pooled)</t>
  </si>
  <si>
    <t>F_u (upper critical value ) [from the table)</t>
  </si>
  <si>
    <t>Decision</t>
  </si>
  <si>
    <t>Fail to reject 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</si>
</sst>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0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1" fillId="0" fontId="2" numFmtId="10" xfId="0" applyBorder="1" applyFont="1" applyNumberFormat="1"/>
    <xf borderId="2" fillId="0" fontId="2" numFmtId="164" xfId="0" applyBorder="1" applyFont="1" applyNumberFormat="1"/>
    <xf borderId="0" fillId="0" fontId="2" numFmtId="165" xfId="0" applyFont="1" applyNumberFormat="1"/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3" numFmtId="0" xfId="0" applyFont="1"/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Frequency Histogram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Histogram!$G$2:$G$6</c:f>
              <c:numCache/>
            </c:numRef>
          </c:val>
        </c:ser>
        <c:axId val="1355007217"/>
        <c:axId val="2029095671"/>
      </c:barChart>
      <c:catAx>
        <c:axId val="1355007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2029095671"/>
      </c:catAx>
      <c:valAx>
        <c:axId val="2029095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007217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8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</cols>
  <sheetData>
    <row r="3">
      <c r="B3" s="1" t="s">
        <v>0</v>
      </c>
      <c r="C3" s="1" t="s">
        <v>1</v>
      </c>
      <c r="I3" s="2" t="s">
        <v>1</v>
      </c>
    </row>
    <row r="4">
      <c r="B4" s="3">
        <v>40.0</v>
      </c>
      <c r="C4" s="3" t="s">
        <v>2</v>
      </c>
      <c r="H4" s="4" t="s">
        <v>3</v>
      </c>
      <c r="I4" s="5">
        <f>countif(C4:C13,"m")</f>
        <v>6</v>
      </c>
    </row>
    <row r="5">
      <c r="B5" s="3">
        <v>38.0</v>
      </c>
      <c r="C5" s="3" t="s">
        <v>4</v>
      </c>
      <c r="E5" s="6" t="s">
        <v>5</v>
      </c>
      <c r="F5" s="7">
        <f>count(B4:B13)</f>
        <v>10</v>
      </c>
      <c r="H5" s="4" t="s">
        <v>6</v>
      </c>
      <c r="I5" s="5">
        <f>countif(C4:C13,"f")</f>
        <v>4</v>
      </c>
    </row>
    <row r="6">
      <c r="B6" s="3">
        <v>53.0</v>
      </c>
      <c r="C6" s="3" t="s">
        <v>2</v>
      </c>
      <c r="H6" s="4" t="s">
        <v>7</v>
      </c>
      <c r="I6" s="8">
        <f>countif(C4:C13,"m")/COUNTA(C4:C13)</f>
        <v>0.6</v>
      </c>
    </row>
    <row r="7">
      <c r="B7" s="3">
        <v>18.0</v>
      </c>
      <c r="C7" s="3" t="s">
        <v>2</v>
      </c>
      <c r="H7" s="4" t="s">
        <v>8</v>
      </c>
      <c r="I7" s="8">
        <f>COUNTIF(C4:C13,"f")/COUNTA(C4:C13)</f>
        <v>0.4</v>
      </c>
    </row>
    <row r="8">
      <c r="B8" s="3">
        <v>25.0</v>
      </c>
      <c r="C8" s="3" t="s">
        <v>2</v>
      </c>
      <c r="F8" s="2" t="s">
        <v>9</v>
      </c>
    </row>
    <row r="9">
      <c r="B9" s="3">
        <v>50.0</v>
      </c>
      <c r="C9" s="3" t="s">
        <v>4</v>
      </c>
      <c r="E9" s="6" t="s">
        <v>10</v>
      </c>
      <c r="F9" s="7">
        <f>AVERAGE(B4:B13)</f>
        <v>37.6</v>
      </c>
    </row>
    <row r="10">
      <c r="B10" s="3">
        <v>39.0</v>
      </c>
      <c r="C10" s="3" t="s">
        <v>4</v>
      </c>
      <c r="E10" s="6" t="s">
        <v>11</v>
      </c>
      <c r="F10" s="7">
        <f>median(B4:B13)</f>
        <v>38.5</v>
      </c>
    </row>
    <row r="11">
      <c r="B11" s="3">
        <v>29.0</v>
      </c>
      <c r="C11" s="3" t="s">
        <v>2</v>
      </c>
    </row>
    <row r="12">
      <c r="B12" s="3">
        <v>27.0</v>
      </c>
      <c r="C12" s="3" t="s">
        <v>4</v>
      </c>
    </row>
    <row r="13">
      <c r="B13" s="3">
        <v>57.0</v>
      </c>
      <c r="C13" s="3" t="s">
        <v>2</v>
      </c>
    </row>
    <row r="15">
      <c r="E15" s="6" t="s">
        <v>12</v>
      </c>
      <c r="F15" s="7">
        <f>VARA(B4:B13)</f>
        <v>167.1555556</v>
      </c>
    </row>
    <row r="16">
      <c r="E16" s="6" t="s">
        <v>13</v>
      </c>
      <c r="F16" s="9">
        <f>sqrt(F15)</f>
        <v>12.92886521</v>
      </c>
      <c r="G16" s="10">
        <f>STDEVA(B4:B13)</f>
        <v>12.92886521</v>
      </c>
      <c r="H16" s="2" t="s">
        <v>14</v>
      </c>
    </row>
    <row r="17">
      <c r="E17" s="6" t="s">
        <v>15</v>
      </c>
      <c r="F17" s="7">
        <f>MAX(B4:B13)-MIN(B4:B13)</f>
        <v>39</v>
      </c>
    </row>
    <row r="18">
      <c r="E18" s="2" t="s">
        <v>16</v>
      </c>
    </row>
    <row r="27">
      <c r="A27" s="2" t="s">
        <v>17</v>
      </c>
    </row>
    <row r="28">
      <c r="A28" s="1" t="s">
        <v>18</v>
      </c>
      <c r="B28" s="1" t="s">
        <v>19</v>
      </c>
      <c r="E28" s="1" t="s">
        <v>20</v>
      </c>
      <c r="F28" s="1" t="s">
        <v>21</v>
      </c>
      <c r="G28" s="1" t="s">
        <v>22</v>
      </c>
      <c r="H28" s="1" t="s">
        <v>23</v>
      </c>
    </row>
    <row r="29">
      <c r="A29" s="3">
        <v>33.0</v>
      </c>
      <c r="B29" s="3" t="s">
        <v>24</v>
      </c>
      <c r="E29" s="2" t="s">
        <v>25</v>
      </c>
      <c r="F29" s="11">
        <f t="shared" ref="F29:F30" si="1">countif($B$29:$B$41,E29)</f>
        <v>4</v>
      </c>
      <c r="G29" s="11">
        <f>SUMIF(B29:B41,E29,A29:A41)</f>
        <v>145</v>
      </c>
      <c r="H29" s="11">
        <f t="shared" ref="H29:H30" si="2">AVERAGEIF($B$29:$B$41,E29,$A$29:$A$41)</f>
        <v>36.25</v>
      </c>
    </row>
    <row r="30">
      <c r="A30" s="3">
        <v>56.0</v>
      </c>
      <c r="B30" s="3" t="s">
        <v>25</v>
      </c>
      <c r="E30" s="2" t="s">
        <v>26</v>
      </c>
      <c r="F30" s="11">
        <f t="shared" si="1"/>
        <v>3</v>
      </c>
      <c r="G30" s="11">
        <f>SUMIF(B29:B41,E30,A29:A41)</f>
        <v>142</v>
      </c>
      <c r="H30" s="11">
        <f t="shared" si="2"/>
        <v>47.33333333</v>
      </c>
    </row>
    <row r="31">
      <c r="A31" s="3">
        <v>45.0</v>
      </c>
      <c r="B31" s="3" t="s">
        <v>25</v>
      </c>
      <c r="E31" s="2" t="s">
        <v>27</v>
      </c>
      <c r="F31" s="11">
        <f>countif($B$29:$B$41,"*red*")</f>
        <v>6</v>
      </c>
      <c r="G31" s="11">
        <f>SUMIF(B29:B41,"*red*",A29:A41)</f>
        <v>428</v>
      </c>
      <c r="H31" s="11">
        <f>AVERAGEIF($B$29:$B$41,"*red*",$A$29:$A$41)</f>
        <v>71.33333333</v>
      </c>
    </row>
    <row r="32">
      <c r="A32" s="3">
        <v>78.0</v>
      </c>
      <c r="B32" s="3" t="s">
        <v>26</v>
      </c>
    </row>
    <row r="33">
      <c r="A33" s="3">
        <v>95.0</v>
      </c>
      <c r="B33" s="3" t="s">
        <v>24</v>
      </c>
    </row>
    <row r="34">
      <c r="A34" s="3">
        <v>48.0</v>
      </c>
      <c r="B34" s="3" t="s">
        <v>24</v>
      </c>
    </row>
    <row r="35">
      <c r="A35" s="3">
        <v>25.0</v>
      </c>
      <c r="B35" s="3" t="s">
        <v>25</v>
      </c>
    </row>
    <row r="36">
      <c r="A36" s="3">
        <v>15.0</v>
      </c>
      <c r="B36" s="3" t="s">
        <v>26</v>
      </c>
    </row>
    <row r="37">
      <c r="A37" s="3">
        <v>49.0</v>
      </c>
      <c r="B37" s="3" t="s">
        <v>26</v>
      </c>
    </row>
    <row r="38">
      <c r="A38" s="3">
        <v>19.0</v>
      </c>
      <c r="B38" s="3" t="s">
        <v>25</v>
      </c>
    </row>
    <row r="39">
      <c r="A39" s="3">
        <v>54.0</v>
      </c>
      <c r="B39" s="3" t="s">
        <v>24</v>
      </c>
    </row>
    <row r="40">
      <c r="A40" s="3">
        <v>98.0</v>
      </c>
      <c r="B40" s="3" t="s">
        <v>24</v>
      </c>
    </row>
    <row r="41">
      <c r="A41" s="3">
        <v>100.0</v>
      </c>
      <c r="B41" s="3" t="s">
        <v>24</v>
      </c>
    </row>
  </sheetData>
  <mergeCells count="1">
    <mergeCell ref="A27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28</v>
      </c>
      <c r="B1" s="1"/>
      <c r="E1" s="6" t="s">
        <v>29</v>
      </c>
      <c r="F1" s="6" t="s">
        <v>30</v>
      </c>
      <c r="G1" s="6" t="s">
        <v>31</v>
      </c>
    </row>
    <row r="2">
      <c r="A2" s="3">
        <v>22.0</v>
      </c>
      <c r="B2" s="3" t="s">
        <v>32</v>
      </c>
      <c r="C2" s="11">
        <f>MIN(A2:A17)</f>
        <v>15</v>
      </c>
      <c r="E2" s="6" t="s">
        <v>33</v>
      </c>
      <c r="F2" s="6">
        <v>30.0</v>
      </c>
      <c r="G2" s="7">
        <f t="array" ref="G2:G7">FREQUENCY(A2:A17,F2:F6)</f>
        <v>4</v>
      </c>
    </row>
    <row r="3">
      <c r="A3" s="3">
        <v>16.0</v>
      </c>
      <c r="B3" s="3" t="s">
        <v>34</v>
      </c>
      <c r="C3" s="11">
        <f>MAX(A2:A17)</f>
        <v>98</v>
      </c>
      <c r="E3" s="6" t="s">
        <v>35</v>
      </c>
      <c r="F3" s="6">
        <v>50.0</v>
      </c>
      <c r="G3" s="7">
        <v>7.0</v>
      </c>
    </row>
    <row r="4">
      <c r="A4" s="3">
        <v>55.0</v>
      </c>
      <c r="B4" s="3" t="s">
        <v>36</v>
      </c>
      <c r="C4" s="11">
        <f>COUNT(A2:A17)</f>
        <v>16</v>
      </c>
      <c r="E4" s="6" t="s">
        <v>37</v>
      </c>
      <c r="F4" s="6">
        <v>70.0</v>
      </c>
      <c r="G4" s="7">
        <v>3.0</v>
      </c>
    </row>
    <row r="5">
      <c r="A5" s="3">
        <v>45.0</v>
      </c>
      <c r="B5" s="3"/>
      <c r="E5" s="6" t="s">
        <v>38</v>
      </c>
      <c r="F5" s="6">
        <v>90.0</v>
      </c>
      <c r="G5" s="7">
        <v>1.0</v>
      </c>
    </row>
    <row r="6">
      <c r="A6" s="3">
        <v>55.0</v>
      </c>
      <c r="B6" s="3"/>
      <c r="E6" s="6" t="s">
        <v>39</v>
      </c>
      <c r="F6" s="6">
        <v>110.0</v>
      </c>
      <c r="G6" s="7">
        <v>1.0</v>
      </c>
    </row>
    <row r="7">
      <c r="A7" s="3">
        <v>75.0</v>
      </c>
      <c r="B7" s="3"/>
      <c r="G7" s="13">
        <v>0.0</v>
      </c>
    </row>
    <row r="8">
      <c r="A8" s="3">
        <v>25.0</v>
      </c>
      <c r="B8" s="3"/>
    </row>
    <row r="9">
      <c r="A9" s="3">
        <v>35.0</v>
      </c>
      <c r="B9" s="3"/>
    </row>
    <row r="10">
      <c r="A10" s="3">
        <v>49.0</v>
      </c>
      <c r="B10" s="3"/>
    </row>
    <row r="11">
      <c r="A11" s="3">
        <v>40.0</v>
      </c>
      <c r="B11" s="3"/>
    </row>
    <row r="12">
      <c r="A12" s="3">
        <v>42.0</v>
      </c>
      <c r="B12" s="3"/>
    </row>
    <row r="13">
      <c r="A13" s="3">
        <v>98.0</v>
      </c>
      <c r="B13" s="3"/>
    </row>
    <row r="14">
      <c r="A14" s="3">
        <v>36.0</v>
      </c>
      <c r="B14" s="3"/>
    </row>
    <row r="15">
      <c r="A15" s="3">
        <v>33.0</v>
      </c>
    </row>
    <row r="16">
      <c r="A16" s="3">
        <v>53.0</v>
      </c>
    </row>
    <row r="17">
      <c r="A17" s="3">
        <v>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5" max="5" width="22.25"/>
  </cols>
  <sheetData>
    <row r="1">
      <c r="B1" s="2" t="s">
        <v>40</v>
      </c>
    </row>
    <row r="2">
      <c r="J2" s="2" t="s">
        <v>41</v>
      </c>
    </row>
    <row r="3">
      <c r="D3" s="1" t="s">
        <v>42</v>
      </c>
      <c r="E3" s="1" t="s">
        <v>43</v>
      </c>
      <c r="F3" s="1" t="s">
        <v>44</v>
      </c>
      <c r="G3" s="1" t="s">
        <v>45</v>
      </c>
      <c r="J3" s="2" t="s">
        <v>46</v>
      </c>
    </row>
    <row r="4">
      <c r="D4" s="2">
        <v>45.0</v>
      </c>
      <c r="E4" s="2">
        <v>14.0</v>
      </c>
      <c r="F4" s="2">
        <v>22.0</v>
      </c>
      <c r="G4" s="2">
        <v>25.0</v>
      </c>
    </row>
    <row r="5">
      <c r="D5" s="2">
        <v>43.0</v>
      </c>
      <c r="E5" s="2">
        <v>42.0</v>
      </c>
      <c r="F5" s="2">
        <v>40.0</v>
      </c>
      <c r="G5" s="2">
        <v>23.0</v>
      </c>
    </row>
    <row r="6">
      <c r="D6" s="2">
        <v>14.0</v>
      </c>
      <c r="E6" s="2">
        <v>12.0</v>
      </c>
      <c r="F6" s="2">
        <v>19.0</v>
      </c>
      <c r="G6" s="2">
        <v>36.0</v>
      </c>
    </row>
    <row r="7">
      <c r="D7" s="2">
        <v>12.0</v>
      </c>
      <c r="E7" s="2">
        <v>19.0</v>
      </c>
      <c r="F7" s="2">
        <v>36.0</v>
      </c>
      <c r="G7" s="2">
        <v>31.0</v>
      </c>
    </row>
    <row r="8">
      <c r="D8" s="2">
        <v>32.0</v>
      </c>
      <c r="E8" s="2">
        <v>25.0</v>
      </c>
      <c r="F8" s="2">
        <v>27.0</v>
      </c>
      <c r="G8" s="2">
        <v>29.0</v>
      </c>
    </row>
    <row r="9">
      <c r="C9" s="2" t="s">
        <v>47</v>
      </c>
      <c r="D9" s="11">
        <f t="shared" ref="D9:G9" si="1">AVERAGE(D4:D8)</f>
        <v>29.2</v>
      </c>
      <c r="E9" s="11">
        <f t="shared" si="1"/>
        <v>22.4</v>
      </c>
      <c r="F9" s="11">
        <f t="shared" si="1"/>
        <v>28.8</v>
      </c>
      <c r="G9" s="11">
        <f t="shared" si="1"/>
        <v>28.8</v>
      </c>
    </row>
    <row r="10">
      <c r="C10" s="2" t="s">
        <v>48</v>
      </c>
      <c r="D10" s="11">
        <f t="shared" ref="D10:G10" si="2">VARA(D4:D8)</f>
        <v>243.7</v>
      </c>
      <c r="E10" s="11">
        <f t="shared" si="2"/>
        <v>145.3</v>
      </c>
      <c r="F10" s="11">
        <f t="shared" si="2"/>
        <v>80.7</v>
      </c>
      <c r="G10" s="11">
        <f t="shared" si="2"/>
        <v>26.2</v>
      </c>
    </row>
    <row r="12">
      <c r="C12" s="2" t="s">
        <v>49</v>
      </c>
      <c r="D12" s="11">
        <f>AVERAGE(D4:G8)</f>
        <v>27.3</v>
      </c>
    </row>
    <row r="13">
      <c r="C13" s="2" t="s">
        <v>50</v>
      </c>
      <c r="D13" s="2">
        <v>4.0</v>
      </c>
      <c r="G13" s="2" t="s">
        <v>51</v>
      </c>
    </row>
    <row r="14">
      <c r="C14" s="2" t="s">
        <v>52</v>
      </c>
      <c r="D14" s="11">
        <f>COUNT(D4:G8)</f>
        <v>20</v>
      </c>
      <c r="G14" s="2" t="s">
        <v>53</v>
      </c>
      <c r="H14" s="11">
        <f>D13-1</f>
        <v>3</v>
      </c>
    </row>
    <row r="15">
      <c r="C15" s="14" t="s">
        <v>54</v>
      </c>
      <c r="D15" s="11">
        <f>COUNT(D4:D8)</f>
        <v>5</v>
      </c>
      <c r="G15" s="2" t="s">
        <v>55</v>
      </c>
      <c r="H15" s="11">
        <f>D14-D13</f>
        <v>16</v>
      </c>
    </row>
    <row r="16">
      <c r="G16" s="2" t="s">
        <v>56</v>
      </c>
      <c r="H16" s="2">
        <v>0.05</v>
      </c>
    </row>
    <row r="18">
      <c r="C18" s="2" t="s">
        <v>57</v>
      </c>
      <c r="D18" s="11">
        <f>AVERAGE(D10:G10)</f>
        <v>123.975</v>
      </c>
    </row>
    <row r="19">
      <c r="C19" s="2" t="s">
        <v>58</v>
      </c>
      <c r="D19" s="11">
        <f>VAR(D9:G9)</f>
        <v>10.70666667</v>
      </c>
    </row>
    <row r="21">
      <c r="C21" s="2" t="s">
        <v>59</v>
      </c>
      <c r="D21" s="11">
        <f>(D15*D19)/D18</f>
        <v>0.4318074881</v>
      </c>
      <c r="E21" s="2" t="s">
        <v>60</v>
      </c>
    </row>
    <row r="22">
      <c r="C22" s="2" t="s">
        <v>61</v>
      </c>
      <c r="D22" s="2">
        <v>3.24</v>
      </c>
    </row>
    <row r="23">
      <c r="C23" s="2" t="s">
        <v>62</v>
      </c>
      <c r="D23" s="2" t="s">
        <v>63</v>
      </c>
    </row>
  </sheetData>
  <drawing r:id="rId1"/>
</worksheet>
</file>